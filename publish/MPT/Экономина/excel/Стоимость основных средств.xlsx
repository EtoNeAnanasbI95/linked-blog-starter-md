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broGideon\Documents\My\Учёба\Экономика\"/>
    </mc:Choice>
  </mc:AlternateContent>
  <xr:revisionPtr revIDLastSave="0" documentId="13_ncr:1_{17BCEE9B-6750-4189-9571-71BE03690C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4" i="1"/>
  <c r="E5" i="1"/>
  <c r="E6" i="1"/>
  <c r="E7" i="1"/>
  <c r="E8" i="1"/>
  <c r="E9" i="1"/>
  <c r="E3" i="1"/>
  <c r="D9" i="1"/>
  <c r="B9" i="1"/>
  <c r="C3" i="1"/>
  <c r="D11" i="1"/>
  <c r="D10" i="1"/>
  <c r="D7" i="1"/>
  <c r="D8" i="1"/>
  <c r="D6" i="1"/>
  <c r="D4" i="1"/>
  <c r="B11" i="1"/>
  <c r="B10" i="1"/>
  <c r="C8" i="1" l="1"/>
  <c r="C5" i="1"/>
  <c r="C7" i="1"/>
  <c r="C6" i="1"/>
  <c r="C4" i="1"/>
  <c r="C10" i="1"/>
  <c r="C9" i="1"/>
  <c r="C11" i="1"/>
</calcChain>
</file>

<file path=xl/sharedStrings.xml><?xml version="1.0" encoding="utf-8"?>
<sst xmlns="http://schemas.openxmlformats.org/spreadsheetml/2006/main" count="17" uniqueCount="16">
  <si>
    <t>Группы основных средств</t>
  </si>
  <si>
    <t>На начало года</t>
  </si>
  <si>
    <t>Стоимость ,млн. руб.</t>
  </si>
  <si>
    <t>На конец года</t>
  </si>
  <si>
    <t>Здания</t>
  </si>
  <si>
    <t>Сооружения</t>
  </si>
  <si>
    <t>Машины и оборудование</t>
  </si>
  <si>
    <t xml:space="preserve">Средства транспортные </t>
  </si>
  <si>
    <t>Инвентарь производственный и хозяйственный</t>
  </si>
  <si>
    <t>Прочие основные средства</t>
  </si>
  <si>
    <t>Итого</t>
  </si>
  <si>
    <t>Активная часть</t>
  </si>
  <si>
    <t>Пассивная часть</t>
  </si>
  <si>
    <t>Доля, 
%</t>
  </si>
  <si>
    <t>Доля,
 %</t>
  </si>
  <si>
    <t>В феврале текущего года было сдано в эксплуатацию зданне цеха стонмостьо 2 млн руб., в мае закуплено оборудованне общей стоимостью 20 млн руб. в сентябре списано морально н физически устаревшее оборудование на сумму З млн руб. Определите структуру основных средств на начало н на конец года, долю активной и пассивной частей на начало и конец года, значения коэффциентов выбытия и обновления основных средств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</si>
</sst>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L15" sqref="L15"/>
    </sheetView>
  </sheetViews>
  <sheetFormatPr defaultRowHeight="15" x14ac:dyDescent="0.25"/>
  <cols>
    <col min="1" max="1" width="45.7109375" bestFit="1" customWidth="1"/>
    <col min="2" max="2" width="12" customWidth="1"/>
    <col min="4" max="4" width="10.28515625" customWidth="1"/>
  </cols>
  <sheetData>
    <row r="1" spans="1:5" x14ac:dyDescent="0.25">
      <c r="A1" s="2" t="s">
        <v>0</v>
      </c>
      <c r="B1" s="2" t="s">
        <v>1</v>
      </c>
      <c r="C1" s="2"/>
      <c r="D1" s="2" t="s">
        <v>3</v>
      </c>
      <c r="E1" s="2"/>
    </row>
    <row r="2" spans="1:5" ht="33.75" customHeight="1" x14ac:dyDescent="0.25">
      <c r="A2" s="2"/>
      <c r="B2" s="3" t="s">
        <v>2</v>
      </c>
      <c r="C2" s="3" t="s">
        <v>13</v>
      </c>
      <c r="D2" s="3" t="s">
        <v>2</v>
      </c>
      <c r="E2" s="3" t="s">
        <v>14</v>
      </c>
    </row>
    <row r="3" spans="1:5" x14ac:dyDescent="0.25">
      <c r="A3" s="4" t="s">
        <v>4</v>
      </c>
      <c r="B3" s="4">
        <v>51</v>
      </c>
      <c r="C3" s="4">
        <f>B3/$B$9 * 100</f>
        <v>38.931297709923662</v>
      </c>
      <c r="D3" s="4">
        <v>53</v>
      </c>
      <c r="E3" s="4">
        <f>D3/$D$9 * 100</f>
        <v>35.333333333333336</v>
      </c>
    </row>
    <row r="4" spans="1:5" x14ac:dyDescent="0.25">
      <c r="A4" s="4" t="s">
        <v>5</v>
      </c>
      <c r="B4" s="4">
        <v>8</v>
      </c>
      <c r="C4" s="4">
        <f t="shared" ref="C4:C11" si="0">B4/$B$9 * 100</f>
        <v>6.1068702290076331</v>
      </c>
      <c r="D4" s="4">
        <f>B4</f>
        <v>8</v>
      </c>
      <c r="E4" s="4">
        <f t="shared" ref="E4:E11" si="1">D4/$D$9 * 100</f>
        <v>5.3333333333333339</v>
      </c>
    </row>
    <row r="5" spans="1:5" x14ac:dyDescent="0.25">
      <c r="A5" s="4" t="s">
        <v>6</v>
      </c>
      <c r="B5" s="4">
        <v>48</v>
      </c>
      <c r="C5" s="4">
        <f t="shared" si="0"/>
        <v>36.641221374045799</v>
      </c>
      <c r="D5" s="4">
        <v>65</v>
      </c>
      <c r="E5" s="4">
        <f t="shared" si="1"/>
        <v>43.333333333333336</v>
      </c>
    </row>
    <row r="6" spans="1:5" x14ac:dyDescent="0.25">
      <c r="A6" s="4" t="s">
        <v>7</v>
      </c>
      <c r="B6" s="4">
        <v>16</v>
      </c>
      <c r="C6" s="4">
        <f t="shared" si="0"/>
        <v>12.213740458015266</v>
      </c>
      <c r="D6" s="4">
        <f>B6</f>
        <v>16</v>
      </c>
      <c r="E6" s="4">
        <f t="shared" si="1"/>
        <v>10.666666666666668</v>
      </c>
    </row>
    <row r="7" spans="1:5" x14ac:dyDescent="0.25">
      <c r="A7" s="4" t="s">
        <v>8</v>
      </c>
      <c r="B7" s="4">
        <v>5</v>
      </c>
      <c r="C7" s="4">
        <f t="shared" si="0"/>
        <v>3.8167938931297711</v>
      </c>
      <c r="D7" s="4">
        <f t="shared" ref="D7:D10" si="2">B7</f>
        <v>5</v>
      </c>
      <c r="E7" s="4">
        <f t="shared" si="1"/>
        <v>3.3333333333333335</v>
      </c>
    </row>
    <row r="8" spans="1:5" x14ac:dyDescent="0.25">
      <c r="A8" s="5" t="s">
        <v>9</v>
      </c>
      <c r="B8" s="5">
        <v>3</v>
      </c>
      <c r="C8" s="4">
        <f t="shared" si="0"/>
        <v>2.2900763358778624</v>
      </c>
      <c r="D8" s="4">
        <f t="shared" si="2"/>
        <v>3</v>
      </c>
      <c r="E8" s="4">
        <f t="shared" si="1"/>
        <v>2</v>
      </c>
    </row>
    <row r="9" spans="1:5" ht="15.75" thickBot="1" x14ac:dyDescent="0.3">
      <c r="A9" s="7" t="s">
        <v>10</v>
      </c>
      <c r="B9" s="7">
        <f>SUM(B3:B8)</f>
        <v>131</v>
      </c>
      <c r="C9" s="7">
        <f t="shared" si="0"/>
        <v>100</v>
      </c>
      <c r="D9" s="7">
        <f>SUM(D3:D8)</f>
        <v>150</v>
      </c>
      <c r="E9" s="7">
        <f t="shared" si="1"/>
        <v>100</v>
      </c>
    </row>
    <row r="10" spans="1:5" x14ac:dyDescent="0.25">
      <c r="A10" s="6" t="s">
        <v>11</v>
      </c>
      <c r="B10" s="6">
        <f>SUM(B5, B7)</f>
        <v>53</v>
      </c>
      <c r="C10" s="6">
        <f t="shared" si="0"/>
        <v>40.458015267175576</v>
      </c>
      <c r="D10" s="6">
        <f>SUM(D5, D7)</f>
        <v>70</v>
      </c>
      <c r="E10" s="6">
        <f t="shared" si="1"/>
        <v>46.666666666666664</v>
      </c>
    </row>
    <row r="11" spans="1:5" x14ac:dyDescent="0.25">
      <c r="A11" s="4" t="s">
        <v>12</v>
      </c>
      <c r="B11" s="4">
        <f>SUM(B3:B4,B6,B8)</f>
        <v>78</v>
      </c>
      <c r="C11" s="4">
        <f t="shared" si="0"/>
        <v>59.541984732824424</v>
      </c>
      <c r="D11" s="4">
        <f>SUM(D3:D4,D6,D8)</f>
        <v>80</v>
      </c>
      <c r="E11" s="4">
        <f t="shared" si="1"/>
        <v>53.333333333333336</v>
      </c>
    </row>
    <row r="15" spans="1:5" ht="158.25" customHeight="1" x14ac:dyDescent="0.25">
      <c r="A15" s="1" t="s">
        <v>15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broGideon</dc:creator>
  <cp:lastModifiedBy>broGideon</cp:lastModifiedBy>
  <dcterms:created xsi:type="dcterms:W3CDTF">2015-06-05T18:17:20Z</dcterms:created>
  <dcterms:modified xsi:type="dcterms:W3CDTF">2025-09-23T10:58:21Z</dcterms:modified>
</cp:coreProperties>
</file>